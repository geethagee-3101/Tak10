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Order Data" sheetId="2" state="visible" r:id="rId2"/>
  </sheets>
  <definedNames>
    <definedName name="Products">'Order Data'!$K$2:$K$11</definedName>
    <definedName name="UnitsByProduct">'Order Data'!$L$2:$L$11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 h:mm:ss"/>
    <numFmt numFmtId="166" formatCode="dd-mmm-yyyy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7365D"/>
      <sz val="14"/>
    </font>
    <font>
      <b val="1"/>
      <color rgb="0017365D"/>
      <sz val="13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3" fontId="4" fillId="4" borderId="0" applyAlignment="1" pivotButton="0" quotePrefix="0" xfId="0">
      <alignment horizontal="center"/>
    </xf>
    <xf numFmtId="0" fontId="3" fillId="3" borderId="0" pivotButton="0" quotePrefix="0" xfId="0"/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3" fillId="5" borderId="0" pivotButton="0" quotePrefix="0" xfId="0"/>
    <xf numFmtId="166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s" displayName="Orders" ref="A1:I21" headerRowCount="1">
  <autoFilter ref="A1:I21"/>
  <tableColumns count="9">
    <tableColumn id="1" name="Order ID"/>
    <tableColumn id="2" name="Order Date"/>
    <tableColumn id="3" name="Region"/>
    <tableColumn id="4" name="Category"/>
    <tableColumn id="5" name="Product"/>
    <tableColumn id="6" name="Units Sold"/>
    <tableColumn id="7" name="Unit Price (₹)"/>
    <tableColumn id="8" name="Discount"/>
    <tableColumn id="9" name="Revenue (₹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24" customWidth="1" min="5" max="5"/>
    <col width="16" customWidth="1" min="6" max="6"/>
  </cols>
  <sheetData>
    <row r="1">
      <c r="A1" s="1" t="inlineStr">
        <is>
          <t>TASK 16 — SIMPLE KPI TRACKING SHEET</t>
        </is>
      </c>
    </row>
    <row r="2">
      <c r="A2" s="2" t="inlineStr">
        <is>
          <t>Veda Technology | Data Analytics Track | Sample retail orders (Oct 2026)</t>
        </is>
      </c>
    </row>
    <row r="3"/>
    <row r="4">
      <c r="A4" s="3" t="inlineStr">
        <is>
          <t>Total Revenue</t>
        </is>
      </c>
      <c r="C4" s="3" t="inlineStr">
        <is>
          <t>Units Sold</t>
        </is>
      </c>
      <c r="E4" s="3" t="inlineStr">
        <is>
          <t>Average Order Value</t>
        </is>
      </c>
    </row>
    <row r="5">
      <c r="A5" s="4">
        <f>SUM(Orders[Revenue (₹)])</f>
        <v/>
      </c>
      <c r="C5" s="5">
        <f>SUM(Orders[Units Sold])</f>
        <v/>
      </c>
      <c r="E5" s="4">
        <f>IFERROR(AVERAGEIFS(Orders[Revenue (₹)],Orders[Order ID],"&lt;&gt;"),0)</f>
        <v/>
      </c>
    </row>
    <row r="6"/>
    <row r="7">
      <c r="A7" s="6" t="inlineStr">
        <is>
          <t>Top Product by Units Sold</t>
        </is>
      </c>
    </row>
    <row r="8">
      <c r="A8" s="7">
        <f>IFERROR(INDEX(Products, MATCH(MAX(UnitsByProduct), UnitsByProduct, 0)),"Add order data")</f>
        <v/>
      </c>
    </row>
    <row r="9"/>
    <row r="10">
      <c r="A10" s="8" t="inlineStr">
        <is>
          <t>How to use</t>
        </is>
      </c>
    </row>
    <row r="11">
      <c r="A11" s="9" t="inlineStr">
        <is>
          <t>1. Add new order rows at the bottom of the Orders table on the Order Data tab.</t>
        </is>
      </c>
    </row>
    <row r="12">
      <c r="A12" s="9" t="inlineStr">
        <is>
          <t>2. Revenue is calculated automatically as Units × Unit Price × (1 − Discount).</t>
        </is>
      </c>
    </row>
    <row r="13">
      <c r="A13" s="9" t="inlineStr">
        <is>
          <t>3. KPI formulas reference the expanding Excel table, so new rows are included automatically.</t>
        </is>
      </c>
    </row>
    <row r="14">
      <c r="A14" s="9" t="inlineStr">
        <is>
          <t>4. Top Product is based on total units sold; if there is a tie, the first matching product is shown.</t>
        </is>
      </c>
    </row>
    <row r="15"/>
    <row r="16"/>
    <row r="17">
      <c r="A17" s="10" t="inlineStr">
        <is>
          <t>Sample dataset note</t>
        </is>
      </c>
    </row>
    <row r="18">
      <c r="A18" s="9" t="inlineStr">
        <is>
          <t>This workbook uses illustrative sample retail orders because no source dataset was attached.</t>
        </is>
      </c>
    </row>
  </sheetData>
  <mergeCells count="9">
    <mergeCell ref="A2:F2"/>
    <mergeCell ref="A11:F11"/>
    <mergeCell ref="A13:F13"/>
    <mergeCell ref="A14:F14"/>
    <mergeCell ref="A8:C8"/>
    <mergeCell ref="A1:F1"/>
    <mergeCell ref="A12:F12"/>
    <mergeCell ref="A18:F18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12" customWidth="1" min="5" max="5"/>
    <col width="12" customWidth="1" min="6" max="6"/>
    <col width="16" customWidth="1" min="7" max="7"/>
    <col width="12" customWidth="1" min="8" max="8"/>
    <col width="13" customWidth="1" min="9" max="9"/>
    <col width="12" customWidth="1" min="10" max="10"/>
    <col width="12" customWidth="1" min="11" max="11"/>
    <col width="30" customWidth="1" min="12" max="12"/>
  </cols>
  <sheetData>
    <row r="1">
      <c r="A1" s="11" t="inlineStr">
        <is>
          <t>Order ID</t>
        </is>
      </c>
      <c r="B1" s="11" t="inlineStr">
        <is>
          <t>Order Date</t>
        </is>
      </c>
      <c r="C1" s="11" t="inlineStr">
        <is>
          <t>Region</t>
        </is>
      </c>
      <c r="D1" s="11" t="inlineStr">
        <is>
          <t>Category</t>
        </is>
      </c>
      <c r="E1" s="11" t="inlineStr">
        <is>
          <t>Product</t>
        </is>
      </c>
      <c r="F1" s="11" t="inlineStr">
        <is>
          <t>Units Sold</t>
        </is>
      </c>
      <c r="G1" s="11" t="inlineStr">
        <is>
          <t>Unit Price (₹)</t>
        </is>
      </c>
      <c r="H1" s="11" t="inlineStr">
        <is>
          <t>Discount</t>
        </is>
      </c>
      <c r="I1" s="11" t="inlineStr">
        <is>
          <t>Revenue (₹)</t>
        </is>
      </c>
      <c r="K1" s="12" t="inlineStr">
        <is>
          <t>Product</t>
        </is>
      </c>
      <c r="L1" s="12" t="inlineStr">
        <is>
          <t>Units by Product</t>
        </is>
      </c>
    </row>
    <row r="2">
      <c r="A2" t="inlineStr">
        <is>
          <t>ORD1001</t>
        </is>
      </c>
      <c r="B2" s="13" t="n">
        <v>46296</v>
      </c>
      <c r="C2" t="inlineStr">
        <is>
          <t>West</t>
        </is>
      </c>
      <c r="D2" t="inlineStr">
        <is>
          <t>Technology</t>
        </is>
      </c>
      <c r="E2" t="inlineStr">
        <is>
          <t>Laptop</t>
        </is>
      </c>
      <c r="F2" s="14" t="n">
        <v>2</v>
      </c>
      <c r="G2" s="15" t="n">
        <v>850</v>
      </c>
      <c r="H2" s="16" t="n">
        <v>0.05</v>
      </c>
      <c r="I2" s="15" t="n">
        <v>1615</v>
      </c>
      <c r="K2" t="inlineStr">
        <is>
          <t>Bookshelf</t>
        </is>
      </c>
      <c r="L2">
        <f>SUMIFS(Orders[Units Sold],Orders[Product],K2)</f>
        <v/>
      </c>
    </row>
    <row r="3">
      <c r="A3" t="inlineStr">
        <is>
          <t>ORD1002</t>
        </is>
      </c>
      <c r="B3" s="13" t="n">
        <v>46297</v>
      </c>
      <c r="C3" t="inlineStr">
        <is>
          <t>East</t>
        </is>
      </c>
      <c r="D3" t="inlineStr">
        <is>
          <t>Furniture</t>
        </is>
      </c>
      <c r="E3" t="inlineStr">
        <is>
          <t>Chair</t>
        </is>
      </c>
      <c r="F3" s="14" t="n">
        <v>5</v>
      </c>
      <c r="G3" s="15" t="n">
        <v>75</v>
      </c>
      <c r="H3" s="16" t="n">
        <v>0</v>
      </c>
      <c r="I3" s="15" t="n">
        <v>375</v>
      </c>
      <c r="K3" t="inlineStr">
        <is>
          <t>Chair</t>
        </is>
      </c>
      <c r="L3">
        <f>SUMIFS(Orders[Units Sold],Orders[Product],K3)</f>
        <v/>
      </c>
    </row>
    <row r="4">
      <c r="A4" t="inlineStr">
        <is>
          <t>ORD1003</t>
        </is>
      </c>
      <c r="B4" s="13" t="n">
        <v>46298</v>
      </c>
      <c r="C4" t="inlineStr">
        <is>
          <t>South</t>
        </is>
      </c>
      <c r="D4" t="inlineStr">
        <is>
          <t>Office Supplies</t>
        </is>
      </c>
      <c r="E4" t="inlineStr">
        <is>
          <t>Notebook</t>
        </is>
      </c>
      <c r="F4" s="14" t="n">
        <v>20</v>
      </c>
      <c r="G4" s="15" t="n">
        <v>4</v>
      </c>
      <c r="H4" s="16" t="n">
        <v>0</v>
      </c>
      <c r="I4" s="15" t="n">
        <v>80</v>
      </c>
      <c r="K4" t="inlineStr">
        <is>
          <t>Desk</t>
        </is>
      </c>
      <c r="L4">
        <f>SUMIFS(Orders[Units Sold],Orders[Product],K4)</f>
        <v/>
      </c>
    </row>
    <row r="5">
      <c r="A5" t="inlineStr">
        <is>
          <t>ORD1004</t>
        </is>
      </c>
      <c r="B5" s="13" t="n">
        <v>46299</v>
      </c>
      <c r="C5" t="inlineStr">
        <is>
          <t>North</t>
        </is>
      </c>
      <c r="D5" t="inlineStr">
        <is>
          <t>Technology</t>
        </is>
      </c>
      <c r="E5" t="inlineStr">
        <is>
          <t>Headphones</t>
        </is>
      </c>
      <c r="F5" s="14" t="n">
        <v>8</v>
      </c>
      <c r="G5" s="15" t="n">
        <v>45</v>
      </c>
      <c r="H5" s="16" t="n">
        <v>0.1</v>
      </c>
      <c r="I5" s="15" t="n">
        <v>324</v>
      </c>
      <c r="K5" t="inlineStr">
        <is>
          <t>Headphones</t>
        </is>
      </c>
      <c r="L5">
        <f>SUMIFS(Orders[Units Sold],Orders[Product],K5)</f>
        <v/>
      </c>
    </row>
    <row r="6">
      <c r="A6" t="inlineStr">
        <is>
          <t>ORD1005</t>
        </is>
      </c>
      <c r="B6" s="13" t="n">
        <v>46300</v>
      </c>
      <c r="C6" t="inlineStr">
        <is>
          <t>West</t>
        </is>
      </c>
      <c r="D6" t="inlineStr">
        <is>
          <t>Office Supplies</t>
        </is>
      </c>
      <c r="E6" t="inlineStr">
        <is>
          <t>Pen Set</t>
        </is>
      </c>
      <c r="F6" s="14" t="n">
        <v>12</v>
      </c>
      <c r="G6" s="15" t="n">
        <v>8</v>
      </c>
      <c r="H6" s="16" t="n">
        <v>0</v>
      </c>
      <c r="I6" s="15" t="n">
        <v>96</v>
      </c>
      <c r="K6" t="inlineStr">
        <is>
          <t>Keyboard</t>
        </is>
      </c>
      <c r="L6">
        <f>SUMIFS(Orders[Units Sold],Orders[Product],K6)</f>
        <v/>
      </c>
    </row>
    <row r="7">
      <c r="A7" t="inlineStr">
        <is>
          <t>ORD1006</t>
        </is>
      </c>
      <c r="B7" s="13" t="n">
        <v>46301</v>
      </c>
      <c r="C7" t="inlineStr">
        <is>
          <t>East</t>
        </is>
      </c>
      <c r="D7" t="inlineStr">
        <is>
          <t>Technology</t>
        </is>
      </c>
      <c r="E7" t="inlineStr">
        <is>
          <t>Monitor</t>
        </is>
      </c>
      <c r="F7" s="14" t="n">
        <v>3</v>
      </c>
      <c r="G7" s="15" t="n">
        <v>220</v>
      </c>
      <c r="H7" s="16" t="n">
        <v>0.05</v>
      </c>
      <c r="I7" s="15" t="n">
        <v>627</v>
      </c>
      <c r="K7" t="inlineStr">
        <is>
          <t>Laptop</t>
        </is>
      </c>
      <c r="L7">
        <f>SUMIFS(Orders[Units Sold],Orders[Product],K7)</f>
        <v/>
      </c>
    </row>
    <row r="8">
      <c r="A8" t="inlineStr">
        <is>
          <t>ORD1007</t>
        </is>
      </c>
      <c r="B8" s="13" t="n">
        <v>46302</v>
      </c>
      <c r="C8" t="inlineStr">
        <is>
          <t>South</t>
        </is>
      </c>
      <c r="D8" t="inlineStr">
        <is>
          <t>Furniture</t>
        </is>
      </c>
      <c r="E8" t="inlineStr">
        <is>
          <t>Desk</t>
        </is>
      </c>
      <c r="F8" s="14" t="n">
        <v>2</v>
      </c>
      <c r="G8" s="15" t="n">
        <v>300</v>
      </c>
      <c r="H8" s="16" t="n">
        <v>0.1</v>
      </c>
      <c r="I8" s="15" t="n">
        <v>540</v>
      </c>
      <c r="K8" t="inlineStr">
        <is>
          <t>Monitor</t>
        </is>
      </c>
      <c r="L8">
        <f>SUMIFS(Orders[Units Sold],Orders[Product],K8)</f>
        <v/>
      </c>
    </row>
    <row r="9">
      <c r="A9" t="inlineStr">
        <is>
          <t>ORD1008</t>
        </is>
      </c>
      <c r="B9" s="13" t="n">
        <v>46303</v>
      </c>
      <c r="C9" t="inlineStr">
        <is>
          <t>North</t>
        </is>
      </c>
      <c r="D9" t="inlineStr">
        <is>
          <t>Office Supplies</t>
        </is>
      </c>
      <c r="E9" t="inlineStr">
        <is>
          <t>Paper</t>
        </is>
      </c>
      <c r="F9" s="14" t="n">
        <v>30</v>
      </c>
      <c r="G9" s="15" t="n">
        <v>6</v>
      </c>
      <c r="H9" s="16" t="n">
        <v>0</v>
      </c>
      <c r="I9" s="15" t="n">
        <v>180</v>
      </c>
      <c r="K9" t="inlineStr">
        <is>
          <t>Notebook</t>
        </is>
      </c>
      <c r="L9">
        <f>SUMIFS(Orders[Units Sold],Orders[Product],K9)</f>
        <v/>
      </c>
    </row>
    <row r="10">
      <c r="A10" t="inlineStr">
        <is>
          <t>ORD1009</t>
        </is>
      </c>
      <c r="B10" s="13" t="n">
        <v>46304</v>
      </c>
      <c r="C10" t="inlineStr">
        <is>
          <t>West</t>
        </is>
      </c>
      <c r="D10" t="inlineStr">
        <is>
          <t>Technology</t>
        </is>
      </c>
      <c r="E10" t="inlineStr">
        <is>
          <t>Keyboard</t>
        </is>
      </c>
      <c r="F10" s="14" t="n">
        <v>10</v>
      </c>
      <c r="G10" s="15" t="n">
        <v>35</v>
      </c>
      <c r="H10" s="16" t="n">
        <v>0</v>
      </c>
      <c r="I10" s="15" t="n">
        <v>350</v>
      </c>
      <c r="K10" t="inlineStr">
        <is>
          <t>Paper</t>
        </is>
      </c>
      <c r="L10">
        <f>SUMIFS(Orders[Units Sold],Orders[Product],K10)</f>
        <v/>
      </c>
    </row>
    <row r="11">
      <c r="A11" t="inlineStr">
        <is>
          <t>ORD1010</t>
        </is>
      </c>
      <c r="B11" s="13" t="n">
        <v>46305</v>
      </c>
      <c r="C11" t="inlineStr">
        <is>
          <t>East</t>
        </is>
      </c>
      <c r="D11" t="inlineStr">
        <is>
          <t>Furniture</t>
        </is>
      </c>
      <c r="E11" t="inlineStr">
        <is>
          <t>Bookshelf</t>
        </is>
      </c>
      <c r="F11" s="14" t="n">
        <v>2</v>
      </c>
      <c r="G11" s="15" t="n">
        <v>180</v>
      </c>
      <c r="H11" s="16" t="n">
        <v>0.05</v>
      </c>
      <c r="I11" s="15" t="n">
        <v>342</v>
      </c>
      <c r="K11" t="inlineStr">
        <is>
          <t>Pen Set</t>
        </is>
      </c>
      <c r="L11">
        <f>SUMIFS(Orders[Units Sold],Orders[Product],K11)</f>
        <v/>
      </c>
    </row>
    <row r="12">
      <c r="A12" t="inlineStr">
        <is>
          <t>ORD1011</t>
        </is>
      </c>
      <c r="B12" s="13" t="n">
        <v>46306</v>
      </c>
      <c r="C12" t="inlineStr">
        <is>
          <t>South</t>
        </is>
      </c>
      <c r="D12" t="inlineStr">
        <is>
          <t>Technology</t>
        </is>
      </c>
      <c r="E12" t="inlineStr">
        <is>
          <t>Laptop</t>
        </is>
      </c>
      <c r="F12" s="14" t="n">
        <v>1</v>
      </c>
      <c r="G12" s="15" t="n">
        <v>900</v>
      </c>
      <c r="H12" s="16" t="n">
        <v>0</v>
      </c>
      <c r="I12" s="15" t="n">
        <v>900</v>
      </c>
    </row>
    <row r="13">
      <c r="A13" t="inlineStr">
        <is>
          <t>ORD1012</t>
        </is>
      </c>
      <c r="B13" s="13" t="n">
        <v>46307</v>
      </c>
      <c r="C13" t="inlineStr">
        <is>
          <t>North</t>
        </is>
      </c>
      <c r="D13" t="inlineStr">
        <is>
          <t>Office Supplies</t>
        </is>
      </c>
      <c r="E13" t="inlineStr">
        <is>
          <t>Notebook</t>
        </is>
      </c>
      <c r="F13" s="14" t="n">
        <v>25</v>
      </c>
      <c r="G13" s="15" t="n">
        <v>4</v>
      </c>
      <c r="H13" s="16" t="n">
        <v>0</v>
      </c>
      <c r="I13" s="15" t="n">
        <v>100</v>
      </c>
    </row>
    <row r="14">
      <c r="A14" t="inlineStr">
        <is>
          <t>ORD1013</t>
        </is>
      </c>
      <c r="B14" s="13" t="n">
        <v>46308</v>
      </c>
      <c r="C14" t="inlineStr">
        <is>
          <t>West</t>
        </is>
      </c>
      <c r="D14" t="inlineStr">
        <is>
          <t>Furniture</t>
        </is>
      </c>
      <c r="E14" t="inlineStr">
        <is>
          <t>Chair</t>
        </is>
      </c>
      <c r="F14" s="14" t="n">
        <v>4</v>
      </c>
      <c r="G14" s="15" t="n">
        <v>80</v>
      </c>
      <c r="H14" s="16" t="n">
        <v>0.05</v>
      </c>
      <c r="I14" s="15" t="n">
        <v>304</v>
      </c>
    </row>
    <row r="15">
      <c r="A15" t="inlineStr">
        <is>
          <t>ORD1014</t>
        </is>
      </c>
      <c r="B15" s="13" t="n">
        <v>46309</v>
      </c>
      <c r="C15" t="inlineStr">
        <is>
          <t>East</t>
        </is>
      </c>
      <c r="D15" t="inlineStr">
        <is>
          <t>Technology</t>
        </is>
      </c>
      <c r="E15" t="inlineStr">
        <is>
          <t>Monitor</t>
        </is>
      </c>
      <c r="F15" s="14" t="n">
        <v>2</v>
      </c>
      <c r="G15" s="15" t="n">
        <v>230</v>
      </c>
      <c r="H15" s="16" t="n">
        <v>0</v>
      </c>
      <c r="I15" s="15" t="n">
        <v>460</v>
      </c>
    </row>
    <row r="16">
      <c r="A16" t="inlineStr">
        <is>
          <t>ORD1015</t>
        </is>
      </c>
      <c r="B16" s="13" t="n">
        <v>46310</v>
      </c>
      <c r="C16" t="inlineStr">
        <is>
          <t>South</t>
        </is>
      </c>
      <c r="D16" t="inlineStr">
        <is>
          <t>Office Supplies</t>
        </is>
      </c>
      <c r="E16" t="inlineStr">
        <is>
          <t>Pen Set</t>
        </is>
      </c>
      <c r="F16" s="14" t="n">
        <v>15</v>
      </c>
      <c r="G16" s="15" t="n">
        <v>8</v>
      </c>
      <c r="H16" s="16" t="n">
        <v>0.1</v>
      </c>
      <c r="I16" s="15" t="n">
        <v>108</v>
      </c>
    </row>
    <row r="17">
      <c r="A17" t="inlineStr">
        <is>
          <t>ORD1016</t>
        </is>
      </c>
      <c r="B17" s="13" t="n">
        <v>46311</v>
      </c>
      <c r="C17" t="inlineStr">
        <is>
          <t>North</t>
        </is>
      </c>
      <c r="D17" t="inlineStr">
        <is>
          <t>Technology</t>
        </is>
      </c>
      <c r="E17" t="inlineStr">
        <is>
          <t>Headphones</t>
        </is>
      </c>
      <c r="F17" s="14" t="n">
        <v>6</v>
      </c>
      <c r="G17" s="15" t="n">
        <v>50</v>
      </c>
      <c r="H17" s="16" t="n">
        <v>0</v>
      </c>
      <c r="I17" s="15" t="n">
        <v>300</v>
      </c>
    </row>
    <row r="18">
      <c r="A18" t="inlineStr">
        <is>
          <t>ORD1017</t>
        </is>
      </c>
      <c r="B18" s="13" t="n">
        <v>46312</v>
      </c>
      <c r="C18" t="inlineStr">
        <is>
          <t>West</t>
        </is>
      </c>
      <c r="D18" t="inlineStr">
        <is>
          <t>Furniture</t>
        </is>
      </c>
      <c r="E18" t="inlineStr">
        <is>
          <t>Desk</t>
        </is>
      </c>
      <c r="F18" s="14" t="n">
        <v>1</v>
      </c>
      <c r="G18" s="15" t="n">
        <v>320</v>
      </c>
      <c r="H18" s="16" t="n">
        <v>0</v>
      </c>
      <c r="I18" s="15" t="n">
        <v>320</v>
      </c>
    </row>
    <row r="19">
      <c r="A19" t="inlineStr">
        <is>
          <t>ORD1018</t>
        </is>
      </c>
      <c r="B19" s="13" t="n">
        <v>46313</v>
      </c>
      <c r="C19" t="inlineStr">
        <is>
          <t>East</t>
        </is>
      </c>
      <c r="D19" t="inlineStr">
        <is>
          <t>Office Supplies</t>
        </is>
      </c>
      <c r="E19" t="inlineStr">
        <is>
          <t>Paper</t>
        </is>
      </c>
      <c r="F19" s="14" t="n">
        <v>40</v>
      </c>
      <c r="G19" s="15" t="n">
        <v>5</v>
      </c>
      <c r="H19" s="16" t="n">
        <v>0.05</v>
      </c>
      <c r="I19" s="15" t="n">
        <v>190</v>
      </c>
    </row>
    <row r="20">
      <c r="A20" t="inlineStr">
        <is>
          <t>ORD1019</t>
        </is>
      </c>
      <c r="B20" s="13" t="n">
        <v>46314</v>
      </c>
      <c r="C20" t="inlineStr">
        <is>
          <t>South</t>
        </is>
      </c>
      <c r="D20" t="inlineStr">
        <is>
          <t>Technology</t>
        </is>
      </c>
      <c r="E20" t="inlineStr">
        <is>
          <t>Keyboard</t>
        </is>
      </c>
      <c r="F20" s="14" t="n">
        <v>7</v>
      </c>
      <c r="G20" s="15" t="n">
        <v>40</v>
      </c>
      <c r="H20" s="16" t="n">
        <v>0</v>
      </c>
      <c r="I20" s="15" t="n">
        <v>280</v>
      </c>
    </row>
    <row r="21">
      <c r="A21" t="inlineStr">
        <is>
          <t>ORD1020</t>
        </is>
      </c>
      <c r="B21" s="13" t="n">
        <v>46315</v>
      </c>
      <c r="C21" t="inlineStr">
        <is>
          <t>North</t>
        </is>
      </c>
      <c r="D21" t="inlineStr">
        <is>
          <t>Furniture</t>
        </is>
      </c>
      <c r="E21" t="inlineStr">
        <is>
          <t>Bookshelf</t>
        </is>
      </c>
      <c r="F21" s="14" t="n">
        <v>3</v>
      </c>
      <c r="G21" s="15" t="n">
        <v>175</v>
      </c>
      <c r="H21" s="16" t="n">
        <v>0.1</v>
      </c>
      <c r="I21" s="15" t="n">
        <v>472.5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2026-10-29T04:04:53Z</dcterms:created>
  <dcterms:modified xmlns:dcterms="http://purl.org/dc/terms/" xmlns:xsi="http://www.w3.org/2001/XMLSchema-instance" xsi:type="dcterms:W3CDTF">2026-10-29T04:04:53Z</dcterms:modified>
</cp:coreProperties>
</file>